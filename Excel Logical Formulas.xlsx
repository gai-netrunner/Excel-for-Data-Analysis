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gai-data\Excel\"/>
    </mc:Choice>
  </mc:AlternateContent>
  <xr:revisionPtr revIDLastSave="0" documentId="13_ncr:1_{E6BD475D-2E56-4C13-85B0-F9C4F426E286}" xr6:coauthVersionLast="47" xr6:coauthVersionMax="47" xr10:uidLastSave="{00000000-0000-0000-0000-000000000000}"/>
  <bookViews>
    <workbookView xWindow="-108" yWindow="-108" windowWidth="23256" windowHeight="12456" activeTab="6" xr2:uid="{339C496C-E5CF-4F4E-9FC3-DEC819E1A5F6}"/>
  </bookViews>
  <sheets>
    <sheet name="IF" sheetId="1" r:id="rId1"/>
    <sheet name="AND" sheetId="2" r:id="rId2"/>
    <sheet name="OR" sheetId="3" r:id="rId3"/>
    <sheet name="IFS" sheetId="4" r:id="rId4"/>
    <sheet name="SUMIF" sheetId="5" r:id="rId5"/>
    <sheet name="SUMIFS" sheetId="6" r:id="rId6"/>
    <sheet name="COUNTIF" sheetId="7" r:id="rId7"/>
    <sheet name="COUNTIFS" sheetId="8" r:id="rId8"/>
    <sheet name="AVERAGEIF" sheetId="9" r:id="rId9"/>
    <sheet name="AVERAGEIF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7" l="1"/>
  <c r="L4" i="7"/>
  <c r="L8" i="6"/>
  <c r="K11" i="5"/>
  <c r="K12" i="5"/>
  <c r="K13" i="5"/>
  <c r="K10" i="5"/>
  <c r="K6" i="5"/>
  <c r="L4" i="6"/>
  <c r="K7" i="5"/>
  <c r="K5" i="5"/>
  <c r="J3" i="4" a="1"/>
  <c r="J3" i="4" s="1"/>
  <c r="J4" i="4" a="1"/>
  <c r="J4" i="4"/>
  <c r="J5" i="4" a="1"/>
  <c r="J5" i="4" s="1"/>
  <c r="J6" i="4" a="1"/>
  <c r="J6" i="4"/>
  <c r="J7" i="4" a="1"/>
  <c r="J7" i="4" s="1"/>
  <c r="J8" i="4" a="1"/>
  <c r="J8" i="4"/>
  <c r="J9" i="4" a="1"/>
  <c r="J9" i="4" s="1"/>
  <c r="J10" i="4" a="1"/>
  <c r="J10" i="4"/>
  <c r="J11" i="4" a="1"/>
  <c r="J11" i="4" s="1"/>
  <c r="J12" i="4" a="1"/>
  <c r="J12" i="4"/>
  <c r="J13" i="4" a="1"/>
  <c r="J13" i="4" s="1"/>
  <c r="J14" i="4" a="1"/>
  <c r="J14" i="4"/>
  <c r="J15" i="4" a="1"/>
  <c r="J15" i="4" s="1"/>
  <c r="J16" i="4" a="1"/>
  <c r="J16" i="4" s="1"/>
  <c r="J2" i="4" a="1"/>
  <c r="J2" i="4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3" i="3"/>
  <c r="J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<sst xmlns="http://schemas.openxmlformats.org/spreadsheetml/2006/main" count="697" uniqueCount="42">
  <si>
    <t>ID</t>
  </si>
  <si>
    <t>Customer Name</t>
  </si>
  <si>
    <t>Region</t>
  </si>
  <si>
    <t>Product</t>
  </si>
  <si>
    <t>Sales</t>
  </si>
  <si>
    <t>Profit</t>
  </si>
  <si>
    <t>Target Met</t>
  </si>
  <si>
    <t>Marks</t>
  </si>
  <si>
    <t>Alice Wahome</t>
  </si>
  <si>
    <t>East</t>
  </si>
  <si>
    <t>Laptop</t>
  </si>
  <si>
    <t>Yes</t>
  </si>
  <si>
    <t>Bob Otieno</t>
  </si>
  <si>
    <t>West</t>
  </si>
  <si>
    <t>Smartphone</t>
  </si>
  <si>
    <t>No</t>
  </si>
  <si>
    <t>Charlie Njoroge</t>
  </si>
  <si>
    <t>North</t>
  </si>
  <si>
    <t>Headphones</t>
  </si>
  <si>
    <t>Diana Wanjiru</t>
  </si>
  <si>
    <t>Edward Kamau</t>
  </si>
  <si>
    <t>South</t>
  </si>
  <si>
    <t>Books</t>
  </si>
  <si>
    <t>Fiona Chebet</t>
  </si>
  <si>
    <t>George Maina</t>
  </si>
  <si>
    <t>Hannah Achieng</t>
  </si>
  <si>
    <t>Ian Mwangi</t>
  </si>
  <si>
    <t>Jane Wairimu</t>
  </si>
  <si>
    <t>Kevin Mutua</t>
  </si>
  <si>
    <t>Laura Nyambura</t>
  </si>
  <si>
    <t>Mike Oduor</t>
  </si>
  <si>
    <t>Nina Karanja</t>
  </si>
  <si>
    <t>Oscar Mutiso</t>
  </si>
  <si>
    <t>Comment</t>
  </si>
  <si>
    <t>Target</t>
  </si>
  <si>
    <t>Products</t>
  </si>
  <si>
    <t>Profits</t>
  </si>
  <si>
    <t>Headphone</t>
  </si>
  <si>
    <t>Sales for Laptops
in East</t>
  </si>
  <si>
    <t>Sales for Smartphone that met Target</t>
  </si>
  <si>
    <t>Sales &gt;1000</t>
  </si>
  <si>
    <t>Students with 50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</si>
</sst>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2AA2-4A86-44EF-8C65-3235738D6704}">
  <dimension ref="A1:J16"/>
  <sheetViews>
    <sheetView workbookViewId="0">
      <selection activeCell="L2" sqref="L2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  <col min="9" max="9" width="9.21875" bestFit="1" customWidth="1"/>
    <col min="10" max="10" width="11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34</v>
      </c>
    </row>
    <row r="2" spans="1:10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I2" t="str">
        <f>IF(H2&gt;=50,"Pass","Fail")</f>
        <v>Pass</v>
      </c>
      <c r="J2" t="str">
        <f>IF(G2="Yes","Achieved","Not Achieved")</f>
        <v>Achieved</v>
      </c>
    </row>
    <row r="3" spans="1:10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I3" t="str">
        <f t="shared" ref="I3:I16" si="0">IF(H3&gt;=50,"Pass","Fail")</f>
        <v>Pass</v>
      </c>
      <c r="J3" t="str">
        <f t="shared" ref="J3:J16" si="1">IF(G3="Yes","Achieved","Not Achieved")</f>
        <v>Not Achieved</v>
      </c>
    </row>
    <row r="4" spans="1:10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I4" t="str">
        <f t="shared" si="0"/>
        <v>Fail</v>
      </c>
      <c r="J4" t="str">
        <f t="shared" si="1"/>
        <v>Not Achieved</v>
      </c>
    </row>
    <row r="5" spans="1:10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I5" t="str">
        <f t="shared" si="0"/>
        <v>Pass</v>
      </c>
      <c r="J5" t="str">
        <f t="shared" si="1"/>
        <v>Achieved</v>
      </c>
    </row>
    <row r="6" spans="1:10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I6" t="str">
        <f t="shared" si="0"/>
        <v>Pass</v>
      </c>
      <c r="J6" t="str">
        <f t="shared" si="1"/>
        <v>Not Achieved</v>
      </c>
    </row>
    <row r="7" spans="1:10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I7" t="str">
        <f t="shared" si="0"/>
        <v>Pass</v>
      </c>
      <c r="J7" t="str">
        <f t="shared" si="1"/>
        <v>Achieved</v>
      </c>
    </row>
    <row r="8" spans="1:10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I8" t="str">
        <f t="shared" si="0"/>
        <v>Pass</v>
      </c>
      <c r="J8" t="str">
        <f t="shared" si="1"/>
        <v>Not Achieved</v>
      </c>
    </row>
    <row r="9" spans="1:10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I9" t="str">
        <f t="shared" si="0"/>
        <v>Pass</v>
      </c>
      <c r="J9" t="str">
        <f t="shared" si="1"/>
        <v>Achieved</v>
      </c>
    </row>
    <row r="10" spans="1:10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I10" t="str">
        <f t="shared" si="0"/>
        <v>Fail</v>
      </c>
      <c r="J10" t="str">
        <f t="shared" si="1"/>
        <v>Not Achieved</v>
      </c>
    </row>
    <row r="11" spans="1:10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I11" t="str">
        <f t="shared" si="0"/>
        <v>Pass</v>
      </c>
      <c r="J11" t="str">
        <f t="shared" si="1"/>
        <v>Achieved</v>
      </c>
    </row>
    <row r="12" spans="1:10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I12" t="str">
        <f t="shared" si="0"/>
        <v>Pass</v>
      </c>
      <c r="J12" t="str">
        <f t="shared" si="1"/>
        <v>Not Achieved</v>
      </c>
    </row>
    <row r="13" spans="1:10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I13" t="str">
        <f t="shared" si="0"/>
        <v>Pass</v>
      </c>
      <c r="J13" t="str">
        <f t="shared" si="1"/>
        <v>Achieved</v>
      </c>
    </row>
    <row r="14" spans="1:10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I14" t="str">
        <f t="shared" si="0"/>
        <v>Pass</v>
      </c>
      <c r="J14" t="str">
        <f t="shared" si="1"/>
        <v>Not Achieved</v>
      </c>
    </row>
    <row r="15" spans="1:10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I15" t="str">
        <f t="shared" si="0"/>
        <v>Pass</v>
      </c>
      <c r="J15" t="str">
        <f t="shared" si="1"/>
        <v>Achieved</v>
      </c>
    </row>
    <row r="16" spans="1:10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78</v>
      </c>
      <c r="I16" t="str">
        <f t="shared" si="0"/>
        <v>Pass</v>
      </c>
      <c r="J16" t="str">
        <f t="shared" si="1"/>
        <v>Not Achieved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81C9-1969-4F7B-BAF5-C2EBBA576E07}">
  <dimension ref="A1:J16"/>
  <sheetViews>
    <sheetView workbookViewId="0">
      <selection activeCell="K9" sqref="K9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  <col min="10" max="10" width="1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>
        <f>IF(AND(H2&gt;=80,G2="Yes"),"Top Performer","Average")</f>
        <v>Top Performer</v>
      </c>
    </row>
    <row r="3" spans="1:10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>
        <f t="shared" ref="J3:J16" si="0">IF(AND(H3&gt;=80,G3="Yes"),"Top Performer","Average")</f>
        <v>Average</v>
      </c>
    </row>
    <row r="4" spans="1:10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>
        <f t="shared" si="0"/>
        <v>Average</v>
      </c>
    </row>
    <row r="5" spans="1:10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>
        <f t="shared" si="0"/>
        <v>Top Performer</v>
      </c>
    </row>
    <row r="6" spans="1:10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>
        <f t="shared" si="0"/>
        <v>Average</v>
      </c>
    </row>
    <row r="7" spans="1:10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>
        <f t="shared" si="0"/>
        <v>Average</v>
      </c>
    </row>
    <row r="8" spans="1:10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>
        <f t="shared" si="0"/>
        <v>Average</v>
      </c>
    </row>
    <row r="9" spans="1:10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>
        <f t="shared" si="0"/>
        <v>Top Performer</v>
      </c>
    </row>
    <row r="10" spans="1:10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>
        <f t="shared" si="0"/>
        <v>Average</v>
      </c>
    </row>
    <row r="11" spans="1:10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tr">
        <f t="shared" si="0"/>
        <v>Top Performer</v>
      </c>
    </row>
    <row r="12" spans="1:10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>
        <f t="shared" si="0"/>
        <v>Average</v>
      </c>
    </row>
    <row r="13" spans="1:10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>
        <f t="shared" si="0"/>
        <v>Top Performer</v>
      </c>
    </row>
    <row r="14" spans="1:10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>
        <f t="shared" si="0"/>
        <v>Average</v>
      </c>
    </row>
    <row r="15" spans="1:10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tr">
        <f t="shared" si="0"/>
        <v>Average</v>
      </c>
    </row>
    <row r="16" spans="1:10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85</v>
      </c>
      <c r="J16" t="str">
        <f t="shared" si="0"/>
        <v>Average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9D47-FD5B-48A4-8E06-FF908C4303F6}">
  <dimension ref="A1:J16"/>
  <sheetViews>
    <sheetView workbookViewId="0">
      <selection activeCell="L5" sqref="L5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>
        <f>IF(OR(G2="No",H2&lt;50),"Need Attention","OK")</f>
        <v>OK</v>
      </c>
    </row>
    <row r="3" spans="1:10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>
        <f>IF(OR(G3="No",H3&lt;50),"Needs Attention","OK")</f>
        <v>Needs Attention</v>
      </c>
    </row>
    <row r="4" spans="1:10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>
        <f t="shared" ref="J4:J16" si="0">IF(OR(G4="No",H4&lt;50),"Needs Attention","OK")</f>
        <v>Needs Attention</v>
      </c>
    </row>
    <row r="5" spans="1:10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>
        <f t="shared" si="0"/>
        <v>OK</v>
      </c>
    </row>
    <row r="6" spans="1:10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>
        <f t="shared" si="0"/>
        <v>Needs Attention</v>
      </c>
    </row>
    <row r="7" spans="1:10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>
        <f t="shared" si="0"/>
        <v>OK</v>
      </c>
    </row>
    <row r="8" spans="1:10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>
        <f t="shared" si="0"/>
        <v>Needs Attention</v>
      </c>
    </row>
    <row r="9" spans="1:10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>
        <f t="shared" si="0"/>
        <v>OK</v>
      </c>
    </row>
    <row r="10" spans="1:10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>
        <f t="shared" si="0"/>
        <v>Needs Attention</v>
      </c>
    </row>
    <row r="11" spans="1:10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tr">
        <f t="shared" si="0"/>
        <v>OK</v>
      </c>
    </row>
    <row r="12" spans="1:10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>
        <f t="shared" si="0"/>
        <v>Needs Attention</v>
      </c>
    </row>
    <row r="13" spans="1:10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>
        <f t="shared" si="0"/>
        <v>OK</v>
      </c>
    </row>
    <row r="14" spans="1:10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>
        <f t="shared" si="0"/>
        <v>Needs Attention</v>
      </c>
    </row>
    <row r="15" spans="1:10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tr">
        <f t="shared" si="0"/>
        <v>OK</v>
      </c>
    </row>
    <row r="16" spans="1:10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J16" t="str">
        <f t="shared" si="0"/>
        <v>Needs Attention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0A61-896A-4119-BF17-BFC2668573E8}">
  <dimension ref="A1:J16"/>
  <sheetViews>
    <sheetView workbookViewId="0">
      <selection activeCell="J2" sqref="J2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t="str" cm="1">
        <f t="array" ref="J2">_xlfn.IFS(H2&gt;80,"A",H2&gt;=65,"B",H2&gt;=50,"C",H2&lt;50,"E")</f>
        <v>A</v>
      </c>
    </row>
    <row r="3" spans="1:10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tr" cm="1">
        <f t="array" ref="J3">_xlfn.IFS(H3&gt;80,"A",H3&gt;=65,"B",H3&gt;=50,"C",H3&lt;50,"E")</f>
        <v>B</v>
      </c>
    </row>
    <row r="4" spans="1:10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tr" cm="1">
        <f t="array" ref="J4">_xlfn.IFS(H4&gt;80,"A",H4&gt;=65,"B",H4&gt;=50,"C",H4&lt;50,"E")</f>
        <v>E</v>
      </c>
    </row>
    <row r="5" spans="1:10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tr" cm="1">
        <f t="array" ref="J5">_xlfn.IFS(H5&gt;80,"A",H5&gt;=65,"B",H5&gt;=50,"C",H5&lt;50,"E")</f>
        <v>A</v>
      </c>
    </row>
    <row r="6" spans="1:10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tr" cm="1">
        <f t="array" ref="J6">_xlfn.IFS(H6&gt;80,"A",H6&gt;=65,"B",H6&gt;=50,"C",H6&lt;50,"E")</f>
        <v>C</v>
      </c>
    </row>
    <row r="7" spans="1:10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t="str" cm="1">
        <f t="array" ref="J7">_xlfn.IFS(H7&gt;80,"A",H7&gt;=65,"B",H7&gt;=50,"C",H7&lt;50,"E")</f>
        <v>B</v>
      </c>
    </row>
    <row r="8" spans="1:10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J8" t="str" cm="1">
        <f t="array" ref="J8">_xlfn.IFS(H8&gt;80,"A",H8&gt;=65,"B",H8&gt;=50,"C",H8&lt;50,"E")</f>
        <v>C</v>
      </c>
    </row>
    <row r="9" spans="1:10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t="str" cm="1">
        <f t="array" ref="J9">_xlfn.IFS(H9&gt;80,"A",H9&gt;=65,"B",H9&gt;=50,"C",H9&lt;50,"E")</f>
        <v>A</v>
      </c>
    </row>
    <row r="10" spans="1:10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tr" cm="1">
        <f t="array" ref="J10">_xlfn.IFS(H10&gt;80,"A",H10&gt;=65,"B",H10&gt;=50,"C",H10&lt;50,"E")</f>
        <v>E</v>
      </c>
    </row>
    <row r="11" spans="1:10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65</v>
      </c>
      <c r="J11" t="str" cm="1">
        <f t="array" ref="J11">_xlfn.IFS(H11&gt;80,"A",H11&gt;=65,"B",H11&gt;=50,"C",H11&lt;50,"E")</f>
        <v>B</v>
      </c>
    </row>
    <row r="12" spans="1:10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tr" cm="1">
        <f t="array" ref="J12">_xlfn.IFS(H12&gt;80,"A",H12&gt;=65,"B",H12&gt;=50,"C",H12&lt;50,"E")</f>
        <v>B</v>
      </c>
    </row>
    <row r="13" spans="1:10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tr" cm="1">
        <f t="array" ref="J13">_xlfn.IFS(H13&gt;80,"A",H13&gt;=65,"B",H13&gt;=50,"C",H13&lt;50,"E")</f>
        <v>B</v>
      </c>
    </row>
    <row r="14" spans="1:10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tr" cm="1">
        <f t="array" ref="J14">_xlfn.IFS(H14&gt;80,"A",H14&gt;=65,"B",H14&gt;=50,"C",H14&lt;50,"E")</f>
        <v>C</v>
      </c>
    </row>
    <row r="15" spans="1:10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tr" cm="1">
        <f t="array" ref="J15">_xlfn.IFS(H15&gt;80,"A",H15&gt;=65,"B",H15&gt;=50,"C",H15&lt;50,"E")</f>
        <v>B</v>
      </c>
    </row>
    <row r="16" spans="1:10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J16" t="str" cm="1">
        <f t="array" ref="J16">_xlfn.IFS(H16&gt;80,"A",H16&gt;=65,"B",H16&gt;=50,"C",H16&lt;50,"E")</f>
        <v>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B68-82EF-4A29-B79F-A722DD9D1E80}">
  <dimension ref="A1:K16"/>
  <sheetViews>
    <sheetView workbookViewId="0">
      <selection activeCell="K7" sqref="K7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  <col min="10" max="10" width="2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1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1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s="3" t="s">
        <v>35</v>
      </c>
      <c r="K4" s="3" t="s">
        <v>4</v>
      </c>
    </row>
    <row r="5" spans="1:11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s="4" t="s">
        <v>10</v>
      </c>
      <c r="K5">
        <f>SUMIF($D$2:$D$16,D2,$E$2:$E$16)</f>
        <v>4700</v>
      </c>
    </row>
    <row r="6" spans="1:11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s="2" t="s">
        <v>18</v>
      </c>
      <c r="K6">
        <f>SUMIF($D$2:$D$16,J6,$E$2:$E$16)</f>
        <v>3700</v>
      </c>
    </row>
    <row r="7" spans="1:11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J7" s="2" t="s">
        <v>22</v>
      </c>
      <c r="K7">
        <f>SUMIF($D$2:$D$16,J7,$E$2:$E$16)</f>
        <v>4550</v>
      </c>
    </row>
    <row r="8" spans="1:11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11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J9" s="3" t="s">
        <v>35</v>
      </c>
      <c r="K9" s="3" t="s">
        <v>36</v>
      </c>
    </row>
    <row r="10" spans="1:11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J10" t="s">
        <v>37</v>
      </c>
      <c r="K10">
        <f>SUMIF($D$2:$D$16,D4,$F$2:$F$16)</f>
        <v>1000</v>
      </c>
    </row>
    <row r="11" spans="1:11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t="s">
        <v>14</v>
      </c>
      <c r="K11">
        <f>SUMIF($D$2:$D$16,J11,$F$2:$F$16)</f>
        <v>900</v>
      </c>
    </row>
    <row r="12" spans="1:11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s="2" t="s">
        <v>22</v>
      </c>
      <c r="K12">
        <f>SUMIF($D$2:$D$16,J12,$F$2:$F$16)</f>
        <v>1330</v>
      </c>
    </row>
    <row r="13" spans="1:11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">
        <v>10</v>
      </c>
      <c r="K13">
        <f>SUMIF($D$2:$D$16,J13,$F$2:$F$16)</f>
        <v>1340</v>
      </c>
    </row>
    <row r="14" spans="1:11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1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1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A8A-CE23-41B1-B110-E7E428C3CBA0}">
  <dimension ref="A1:L16"/>
  <sheetViews>
    <sheetView workbookViewId="0">
      <selection activeCell="J15" sqref="J15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  <col min="11" max="11" width="18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2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2" ht="28.8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K4" s="5" t="s">
        <v>38</v>
      </c>
      <c r="L4">
        <f>SUMIFS(E2:E16,D2:D16,D2,C2:C16,C2)</f>
        <v>3400</v>
      </c>
    </row>
    <row r="5" spans="1:12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12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2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12" ht="43.2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K8" s="5" t="s">
        <v>39</v>
      </c>
      <c r="L8">
        <f>SUMIFS(E2:E16,D2:D16,D10,G2:G16,"Yes")</f>
        <v>1800</v>
      </c>
    </row>
    <row r="9" spans="1:12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2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2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2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2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2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2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2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4B03-B2F4-466C-AF12-C21345E4FF15}">
  <dimension ref="A1:L16"/>
  <sheetViews>
    <sheetView tabSelected="1" workbookViewId="0">
      <selection activeCell="M6" sqref="M6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  <col min="11" max="11" width="23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2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2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K4" s="3" t="s">
        <v>40</v>
      </c>
      <c r="L4">
        <f>COUNTIF(E2:E16,"&gt;1000")</f>
        <v>7</v>
      </c>
    </row>
    <row r="5" spans="1:12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12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2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K7" s="3" t="s">
        <v>41</v>
      </c>
      <c r="L7">
        <f>COUNTIF(H2:H16,"&gt;50")</f>
        <v>11</v>
      </c>
    </row>
    <row r="8" spans="1:12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12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2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2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2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2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2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2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2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C7C-52A8-452E-9A98-6BD8CFD1389B}">
  <dimension ref="A1:H16"/>
  <sheetViews>
    <sheetView workbookViewId="0">
      <selection activeCell="J18" sqref="J18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55C6-F56A-4558-B4F3-06CBAC0BEE9B}">
  <dimension ref="A1:H16"/>
  <sheetViews>
    <sheetView workbookViewId="0">
      <selection activeCell="J18" sqref="J18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B93-881D-4B58-95B2-030B582E473A}">
  <dimension ref="A1:H16"/>
  <sheetViews>
    <sheetView workbookViewId="0">
      <selection activeCell="I1" sqref="I1"/>
    </sheetView>
  </sheetViews>
  <sheetFormatPr defaultRowHeight="14.4" x14ac:dyDescent="0.3"/>
  <cols>
    <col min="1" max="1" width="2.77734375" bestFit="1" customWidth="1"/>
    <col min="2" max="2" width="14.33203125" bestFit="1" customWidth="1"/>
    <col min="3" max="3" width="6.5546875" bestFit="1" customWidth="1"/>
    <col min="4" max="4" width="11" bestFit="1" customWidth="1"/>
    <col min="5" max="6" width="5.33203125" bestFit="1" customWidth="1"/>
    <col min="7" max="7" width="9.33203125" bestFit="1" customWidth="1"/>
    <col min="8" max="8" width="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3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3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3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3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3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3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3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3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3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3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3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3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3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H16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AND</vt:lpstr>
      <vt:lpstr>OR</vt:lpstr>
      <vt:lpstr>IFS</vt:lpstr>
      <vt:lpstr>SUMIF</vt:lpstr>
      <vt:lpstr>SUMIFS</vt:lpstr>
      <vt:lpstr>COUNTIF</vt:lpstr>
      <vt:lpstr>COUNTIFS</vt:lpstr>
      <vt:lpstr>AVERAGEIF</vt:lpstr>
      <vt:lpstr>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</dc:creator>
  <cp:lastModifiedBy>Admin</cp:lastModifiedBy>
  <dcterms:created xsi:type="dcterms:W3CDTF">2025-10-21T06:48:58Z</dcterms:created>
  <dcterms:modified xsi:type="dcterms:W3CDTF">2025-10-21T11:01:00Z</dcterms:modified>
</cp:coreProperties>
</file>